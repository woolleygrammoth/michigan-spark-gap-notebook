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5lakesenergy.sharepoint.com/sites/MichiganCitizensUtilityBoard/Shared Documents/Utility Performance Reports/Data/misc analyses/spark-gap-whitepaper/mdos data/"/>
    </mc:Choice>
  </mc:AlternateContent>
  <xr:revisionPtr revIDLastSave="0" documentId="8_{3C2A163A-5090-BE40-A096-05293B707C1C}" xr6:coauthVersionLast="47" xr6:coauthVersionMax="47" xr10:uidLastSave="{00000000-0000-0000-0000-000000000000}"/>
  <bookViews>
    <workbookView xWindow="0" yWindow="760" windowWidth="30240" windowHeight="18240" xr2:uid="{1AE2E859-AEAF-964E-B3B3-B03C8875B61A}"/>
  </bookViews>
  <sheets>
    <sheet name="Registrations_by_County" sheetId="1" r:id="rId1"/>
  </sheets>
  <definedNames>
    <definedName name="_xlnm._FilterDatabase" localSheetId="0" hidden="1">Registrations_by_County!$A$1:$F$1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1" l="1"/>
  <c r="E86" i="1"/>
  <c r="D86" i="1"/>
  <c r="C86" i="1"/>
  <c r="B86" i="1"/>
</calcChain>
</file>

<file path=xl/sharedStrings.xml><?xml version="1.0" encoding="utf-8"?>
<sst xmlns="http://schemas.openxmlformats.org/spreadsheetml/2006/main" count="90" uniqueCount="90">
  <si>
    <t>County</t>
  </si>
  <si>
    <t>Passenger Active</t>
  </si>
  <si>
    <t>Passenger Expired</t>
  </si>
  <si>
    <t>Commercial Active</t>
  </si>
  <si>
    <t>Commercial Expired</t>
  </si>
  <si>
    <t>Total</t>
  </si>
  <si>
    <t>FOREIGN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</si>
  <si>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</si>
  <si>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</si>
  <si>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</si>
  <si>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</si>
  <si>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</si>
  <si>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</si>
  <si>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</si>
  <si>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</si>
  <si>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BAY</t>
  </si>
  <si>
    <t>BENZIE</t>
  </si>
  <si>
    <t>BERRIEN</t>
  </si>
  <si>
    <t>BRANCH</t>
  </si>
  <si>
    <t>CALHOUN</t>
  </si>
  <si>
    <t>CASS</t>
  </si>
  <si>
    <t>CHARLEVOIX</t>
  </si>
  <si>
    <t>CHEBOYGAN</t>
  </si>
  <si>
    <t>CHIPPEWA</t>
  </si>
  <si>
    <t>CLARE</t>
  </si>
  <si>
    <t>CLINTON</t>
  </si>
  <si>
    <t>CRAWFORD</t>
  </si>
  <si>
    <t>DELTA</t>
  </si>
  <si>
    <t>DICKINSON</t>
  </si>
  <si>
    <t>EATON</t>
  </si>
  <si>
    <t>EMMET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</si>
  <si>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</si>
  <si>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</si>
  <si>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</si>
  <si>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</si>
  <si>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</si>
  <si>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</si>
  <si>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</si>
  <si>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</si>
  <si>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</si>
  <si>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</si>
  <si>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</si>
  <si>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</si>
  <si>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</si>
  <si>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JACKSON</t>
  </si>
  <si>
    <t>KALAMAZOO</t>
  </si>
  <si>
    <t>KALKASKA</t>
  </si>
  <si>
    <t>KENT</t>
  </si>
  <si>
    <t>KEWEENAW</t>
  </si>
  <si>
    <t>LAKE</t>
  </si>
  <si>
    <t>LAPEER</t>
  </si>
  <si>
    <t>LEELANAU</t>
  </si>
  <si>
    <t>LENAWEE</t>
  </si>
  <si>
    <t>LIVINGSTON</t>
  </si>
  <si>
    <t>LUCE</t>
  </si>
  <si>
    <t>MACKINAC</t>
  </si>
  <si>
    <t>MACOMB</t>
  </si>
  <si>
    <t>MANISTEE</t>
  </si>
  <si>
    <t>MARQUETTE</t>
  </si>
  <si>
    <t>MASON</t>
  </si>
  <si>
    <t>MECOSTA</t>
  </si>
  <si>
    <t>MENOMINEE</t>
  </si>
  <si>
    <t>MIDLAND</t>
  </si>
  <si>
    <t>MISSAUKEE</t>
  </si>
  <si>
    <t>MONROE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</si>
  <si>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</si>
  <si>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</si>
  <si>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</si>
  <si>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</si>
  <si>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</si>
  <si>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</si>
  <si>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</si>
  <si>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</si>
  <si>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OSCEOLA</t>
  </si>
  <si>
    <t>OSCODA</t>
  </si>
  <si>
    <t>OTSEGO</t>
  </si>
  <si>
    <t>OTTAWA</t>
  </si>
  <si>
    <t>PRESQUE ISLE</t>
  </si>
  <si>
    <t>ROSCOMMON</t>
  </si>
  <si>
    <t>SAGINAW</t>
  </si>
  <si>
    <t>ST. CLAIR</t>
  </si>
  <si>
    <t>ST. JOSEPH</t>
  </si>
  <si>
    <t>SANILAC</t>
  </si>
  <si>
    <t>SCHOOLCRAFT</t>
  </si>
  <si>
    <t>SHIAWASSEE</t>
  </si>
  <si>
    <t>TUSCOLA</t>
  </si>
  <si>
    <t>VAN BUREN</t>
  </si>
  <si>
    <t>WASHTENAW</t>
  </si>
  <si>
    <t>WAYNE</t>
  </si>
  <si>
    <t>WEXFORD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</si>
</sst>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A960-8DD9-004F-99CE-3763D1109B14}">
  <dimension ref="A1:F86"/>
  <sheetViews>
    <sheetView tabSelected="1" workbookViewId="0">
      <selection activeCell="B86" sqref="B86"/>
    </sheetView>
  </sheetViews>
  <sheetFormatPr baseColWidth="10" defaultColWidth="10.6640625" defaultRowHeight="14.5" x14ac:dyDescent="0.2"/>
  <cols>
    <col min="1" max="1" width="18" bestFit="1" customWidth="1"/>
    <col min="2" max="6" width="13" customWidth="1"/>
    <col min="7" max="7" width="10.6640625" customWidth="1"/>
  </cols>
  <sheetData>
    <row r="1" spans="1:6" ht="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15" x14ac:dyDescent="0.2">
      <c r="A2" s="3" t="s">
        <v>6</v>
      </c>
      <c r="B2" s="4">
        <v>681</v>
      </c>
      <c r="C2" s="4">
        <v>199</v>
      </c>
      <c r="D2" s="4">
        <v>388</v>
      </c>
      <c r="E2" s="4">
        <v>19</v>
      </c>
      <c r="F2" s="4">
        <v>1287</v>
      </c>
    </row>
    <row r="3" spans="1:6" ht="15" x14ac:dyDescent="0.2">
      <c r="A3" s="3" t="s">
        <v>7</v>
      </c>
      <c r="B3" s="4">
        <v>10599</v>
      </c>
      <c r="C3" s="4">
        <v>1165</v>
      </c>
      <c r="D3" s="4">
        <v>142</v>
      </c>
      <c r="E3" s="4">
        <v>21</v>
      </c>
      <c r="F3" s="4">
        <v>11927</v>
      </c>
    </row>
    <row r="4" spans="1:6" ht="15" x14ac:dyDescent="0.2">
      <c r="A4" s="3" t="s">
        <v>8</v>
      </c>
      <c r="B4" s="4">
        <v>7285</v>
      </c>
      <c r="C4" s="4">
        <v>812</v>
      </c>
      <c r="D4" s="4">
        <v>229</v>
      </c>
      <c r="E4" s="4">
        <v>12</v>
      </c>
      <c r="F4" s="4">
        <v>8338</v>
      </c>
    </row>
    <row r="5" spans="1:6" ht="15" x14ac:dyDescent="0.2">
      <c r="A5" s="3" t="s">
        <v>9</v>
      </c>
      <c r="B5" s="4">
        <v>101574</v>
      </c>
      <c r="C5" s="4">
        <v>10383</v>
      </c>
      <c r="D5" s="4">
        <v>4219</v>
      </c>
      <c r="E5" s="4">
        <v>148</v>
      </c>
      <c r="F5" s="4">
        <v>116324</v>
      </c>
    </row>
    <row r="6" spans="1:6" ht="15" x14ac:dyDescent="0.2">
      <c r="A6" s="3" t="s">
        <v>10</v>
      </c>
      <c r="B6" s="4">
        <v>23844</v>
      </c>
      <c r="C6" s="4">
        <v>2395</v>
      </c>
      <c r="D6" s="4">
        <v>753</v>
      </c>
      <c r="E6" s="4">
        <v>42</v>
      </c>
      <c r="F6" s="4">
        <v>27034</v>
      </c>
    </row>
    <row r="7" spans="1:6" ht="15" x14ac:dyDescent="0.2">
      <c r="A7" s="3" t="s">
        <v>11</v>
      </c>
      <c r="B7" s="4">
        <v>22623</v>
      </c>
      <c r="C7" s="4">
        <v>2567</v>
      </c>
      <c r="D7" s="4">
        <v>673</v>
      </c>
      <c r="E7" s="4">
        <v>46</v>
      </c>
      <c r="F7" s="4">
        <v>25909</v>
      </c>
    </row>
    <row r="8" spans="1:6" ht="15" x14ac:dyDescent="0.2">
      <c r="A8" s="3" t="s">
        <v>12</v>
      </c>
      <c r="B8" s="4">
        <v>13478</v>
      </c>
      <c r="C8" s="4">
        <v>1468</v>
      </c>
      <c r="D8" s="4">
        <v>499</v>
      </c>
      <c r="E8" s="4">
        <v>44</v>
      </c>
      <c r="F8" s="4">
        <v>15489</v>
      </c>
    </row>
    <row r="9" spans="1:6" ht="15" x14ac:dyDescent="0.2">
      <c r="A9" s="3" t="s">
        <v>13</v>
      </c>
      <c r="B9" s="4">
        <v>5084</v>
      </c>
      <c r="C9" s="4">
        <v>703</v>
      </c>
      <c r="D9" s="4">
        <v>190</v>
      </c>
      <c r="E9" s="4">
        <v>13</v>
      </c>
      <c r="F9" s="4">
        <v>5990</v>
      </c>
    </row>
    <row r="10" spans="1:6" ht="15" x14ac:dyDescent="0.2">
      <c r="A10" s="3" t="s">
        <v>14</v>
      </c>
      <c r="B10" s="4">
        <v>53211</v>
      </c>
      <c r="C10" s="4">
        <v>5949</v>
      </c>
      <c r="D10" s="4">
        <v>1101</v>
      </c>
      <c r="E10" s="4">
        <v>61</v>
      </c>
      <c r="F10" s="4">
        <v>60322</v>
      </c>
    </row>
    <row r="11" spans="1:6" ht="15" x14ac:dyDescent="0.2">
      <c r="A11" s="3" t="s">
        <v>15</v>
      </c>
      <c r="B11" s="4">
        <v>83703</v>
      </c>
      <c r="C11" s="4">
        <v>7378</v>
      </c>
      <c r="D11" s="4">
        <v>2351</v>
      </c>
      <c r="E11" s="4">
        <v>107</v>
      </c>
      <c r="F11" s="4">
        <v>93539</v>
      </c>
    </row>
    <row r="12" spans="1:6" ht="15" x14ac:dyDescent="0.2">
      <c r="A12" s="3" t="s">
        <v>16</v>
      </c>
      <c r="B12" s="4">
        <v>17026</v>
      </c>
      <c r="C12" s="4">
        <v>1786</v>
      </c>
      <c r="D12" s="4">
        <v>668</v>
      </c>
      <c r="E12" s="4">
        <v>35</v>
      </c>
      <c r="F12" s="4">
        <v>19515</v>
      </c>
    </row>
    <row r="13" spans="1:6" ht="15" x14ac:dyDescent="0.2">
      <c r="A13" s="3" t="s">
        <v>17</v>
      </c>
      <c r="B13" s="4">
        <v>116543</v>
      </c>
      <c r="C13" s="4">
        <v>13538</v>
      </c>
      <c r="D13" s="4">
        <v>3991</v>
      </c>
      <c r="E13" s="4">
        <v>169</v>
      </c>
      <c r="F13" s="4">
        <v>134241</v>
      </c>
    </row>
    <row r="14" spans="1:6" ht="15" x14ac:dyDescent="0.2">
      <c r="A14" s="3" t="s">
        <v>18</v>
      </c>
      <c r="B14" s="4">
        <v>32648</v>
      </c>
      <c r="C14" s="4">
        <v>3758</v>
      </c>
      <c r="D14" s="4">
        <v>889</v>
      </c>
      <c r="E14" s="4">
        <v>33</v>
      </c>
      <c r="F14" s="4">
        <v>37328</v>
      </c>
    </row>
    <row r="15" spans="1:6" ht="15" x14ac:dyDescent="0.2">
      <c r="A15" s="3" t="s">
        <v>19</v>
      </c>
      <c r="B15" s="4">
        <v>96667</v>
      </c>
      <c r="C15" s="4">
        <v>13942</v>
      </c>
      <c r="D15" s="4">
        <v>2348</v>
      </c>
      <c r="E15" s="4">
        <v>152</v>
      </c>
      <c r="F15" s="4">
        <v>113109</v>
      </c>
    </row>
    <row r="16" spans="1:6" ht="15" x14ac:dyDescent="0.2">
      <c r="A16" s="3" t="s">
        <v>20</v>
      </c>
      <c r="B16" s="4">
        <v>41639</v>
      </c>
      <c r="C16" s="4">
        <v>5001</v>
      </c>
      <c r="D16" s="4">
        <v>1131</v>
      </c>
      <c r="E16" s="4">
        <v>58</v>
      </c>
      <c r="F16" s="4">
        <v>47829</v>
      </c>
    </row>
    <row r="17" spans="1:6" ht="15" x14ac:dyDescent="0.2">
      <c r="A17" s="3" t="s">
        <v>21</v>
      </c>
      <c r="B17" s="4">
        <v>24793</v>
      </c>
      <c r="C17" s="4">
        <v>2453</v>
      </c>
      <c r="D17" s="4">
        <v>1058</v>
      </c>
      <c r="E17" s="4">
        <v>54</v>
      </c>
      <c r="F17" s="4">
        <v>28358</v>
      </c>
    </row>
    <row r="18" spans="1:6" ht="15" x14ac:dyDescent="0.2">
      <c r="A18" s="3" t="s">
        <v>22</v>
      </c>
      <c r="B18" s="4">
        <v>23801</v>
      </c>
      <c r="C18" s="4">
        <v>2708</v>
      </c>
      <c r="D18" s="4">
        <v>611</v>
      </c>
      <c r="E18" s="4">
        <v>37</v>
      </c>
      <c r="F18" s="4">
        <v>27157</v>
      </c>
    </row>
    <row r="19" spans="1:6" ht="15" x14ac:dyDescent="0.2">
      <c r="A19" s="3" t="s">
        <v>23</v>
      </c>
      <c r="B19" s="4">
        <v>24941</v>
      </c>
      <c r="C19" s="4">
        <v>2909</v>
      </c>
      <c r="D19" s="4">
        <v>758</v>
      </c>
      <c r="E19" s="4">
        <v>39</v>
      </c>
      <c r="F19" s="4">
        <v>28647</v>
      </c>
    </row>
    <row r="20" spans="1:6" ht="15" x14ac:dyDescent="0.2">
      <c r="A20" s="3" t="s">
        <v>24</v>
      </c>
      <c r="B20" s="4">
        <v>25197</v>
      </c>
      <c r="C20" s="4">
        <v>2956</v>
      </c>
      <c r="D20" s="4">
        <v>735</v>
      </c>
      <c r="E20" s="4">
        <v>35</v>
      </c>
      <c r="F20" s="4">
        <v>28923</v>
      </c>
    </row>
    <row r="21" spans="1:6" ht="15" x14ac:dyDescent="0.2">
      <c r="A21" s="3" t="s">
        <v>25</v>
      </c>
      <c r="B21" s="4">
        <v>63675</v>
      </c>
      <c r="C21" s="4">
        <v>5231</v>
      </c>
      <c r="D21" s="4">
        <v>1971</v>
      </c>
      <c r="E21" s="4">
        <v>82</v>
      </c>
      <c r="F21" s="4">
        <v>70959</v>
      </c>
    </row>
    <row r="22" spans="1:6" ht="15" x14ac:dyDescent="0.2">
      <c r="A22" s="3" t="s">
        <v>26</v>
      </c>
      <c r="B22" s="4">
        <v>11854</v>
      </c>
      <c r="C22" s="4">
        <v>1329</v>
      </c>
      <c r="D22" s="4">
        <v>276</v>
      </c>
      <c r="E22" s="4">
        <v>17</v>
      </c>
      <c r="F22" s="4">
        <v>13476</v>
      </c>
    </row>
    <row r="23" spans="1:6" ht="15" x14ac:dyDescent="0.2">
      <c r="A23" s="3" t="s">
        <v>27</v>
      </c>
      <c r="B23" s="4">
        <v>30038</v>
      </c>
      <c r="C23" s="4">
        <v>3204</v>
      </c>
      <c r="D23" s="4">
        <v>1176</v>
      </c>
      <c r="E23" s="4">
        <v>71</v>
      </c>
      <c r="F23" s="4">
        <v>34489</v>
      </c>
    </row>
    <row r="24" spans="1:6" ht="15" x14ac:dyDescent="0.2">
      <c r="A24" s="3" t="s">
        <v>28</v>
      </c>
      <c r="B24" s="4">
        <v>20546</v>
      </c>
      <c r="C24" s="4">
        <v>1970</v>
      </c>
      <c r="D24" s="4">
        <v>1501</v>
      </c>
      <c r="E24" s="4">
        <v>36</v>
      </c>
      <c r="F24" s="4">
        <v>24053</v>
      </c>
    </row>
    <row r="25" spans="1:6" ht="15" x14ac:dyDescent="0.2">
      <c r="A25" s="3" t="s">
        <v>29</v>
      </c>
      <c r="B25" s="4">
        <v>85928</v>
      </c>
      <c r="C25" s="4">
        <v>8988</v>
      </c>
      <c r="D25" s="4">
        <v>2370</v>
      </c>
      <c r="E25" s="4">
        <v>127</v>
      </c>
      <c r="F25" s="4">
        <v>97413</v>
      </c>
    </row>
    <row r="26" spans="1:6" ht="15" x14ac:dyDescent="0.2">
      <c r="A26" s="3" t="s">
        <v>30</v>
      </c>
      <c r="B26" s="4">
        <v>31315</v>
      </c>
      <c r="C26" s="4">
        <v>2849</v>
      </c>
      <c r="D26" s="4">
        <v>1697</v>
      </c>
      <c r="E26" s="4">
        <v>54</v>
      </c>
      <c r="F26" s="4">
        <v>35915</v>
      </c>
    </row>
    <row r="27" spans="1:6" ht="15" x14ac:dyDescent="0.2">
      <c r="A27" s="3" t="s">
        <v>31</v>
      </c>
      <c r="B27" s="4">
        <v>287160</v>
      </c>
      <c r="C27" s="4">
        <v>39256</v>
      </c>
      <c r="D27" s="4">
        <v>7817</v>
      </c>
      <c r="E27" s="4">
        <v>397</v>
      </c>
      <c r="F27" s="4">
        <v>334630</v>
      </c>
    </row>
    <row r="28" spans="1:6" ht="15" x14ac:dyDescent="0.2">
      <c r="A28" s="3" t="s">
        <v>32</v>
      </c>
      <c r="B28" s="4">
        <v>22125</v>
      </c>
      <c r="C28" s="4">
        <v>2273</v>
      </c>
      <c r="D28" s="4">
        <v>470</v>
      </c>
      <c r="E28" s="4">
        <v>40</v>
      </c>
      <c r="F28" s="4">
        <v>24908</v>
      </c>
    </row>
    <row r="29" spans="1:6" ht="15" x14ac:dyDescent="0.2">
      <c r="A29" s="3" t="s">
        <v>33</v>
      </c>
      <c r="B29" s="4">
        <v>10445</v>
      </c>
      <c r="C29" s="4">
        <v>1401</v>
      </c>
      <c r="D29" s="4">
        <v>299</v>
      </c>
      <c r="E29" s="4">
        <v>22</v>
      </c>
      <c r="F29" s="4">
        <v>12167</v>
      </c>
    </row>
    <row r="30" spans="1:6" ht="15" x14ac:dyDescent="0.2">
      <c r="A30" s="3" t="s">
        <v>34</v>
      </c>
      <c r="B30" s="4">
        <v>79499</v>
      </c>
      <c r="C30" s="4">
        <v>7449</v>
      </c>
      <c r="D30" s="4">
        <v>4654</v>
      </c>
      <c r="E30" s="4">
        <v>165</v>
      </c>
      <c r="F30" s="4">
        <v>91767</v>
      </c>
    </row>
    <row r="31" spans="1:6" ht="15" x14ac:dyDescent="0.2">
      <c r="A31" s="3" t="s">
        <v>35</v>
      </c>
      <c r="B31" s="4">
        <v>29604</v>
      </c>
      <c r="C31" s="4">
        <v>3068</v>
      </c>
      <c r="D31" s="4">
        <v>872</v>
      </c>
      <c r="E31" s="4">
        <v>34</v>
      </c>
      <c r="F31" s="4">
        <v>33578</v>
      </c>
    </row>
    <row r="32" spans="1:6" ht="15" x14ac:dyDescent="0.2">
      <c r="A32" s="3" t="s">
        <v>36</v>
      </c>
      <c r="B32" s="4">
        <v>33715</v>
      </c>
      <c r="C32" s="4">
        <v>4012</v>
      </c>
      <c r="D32" s="4">
        <v>771</v>
      </c>
      <c r="E32" s="4">
        <v>45</v>
      </c>
      <c r="F32" s="4">
        <v>38543</v>
      </c>
    </row>
    <row r="33" spans="1:6" ht="15" x14ac:dyDescent="0.2">
      <c r="A33" s="3" t="s">
        <v>37</v>
      </c>
      <c r="B33" s="4">
        <v>25091</v>
      </c>
      <c r="C33" s="4">
        <v>2945</v>
      </c>
      <c r="D33" s="4">
        <v>967</v>
      </c>
      <c r="E33" s="4">
        <v>70</v>
      </c>
      <c r="F33" s="4">
        <v>29073</v>
      </c>
    </row>
    <row r="34" spans="1:6" ht="15" x14ac:dyDescent="0.2">
      <c r="A34" s="3" t="s">
        <v>38</v>
      </c>
      <c r="B34" s="4">
        <v>28686</v>
      </c>
      <c r="C34" s="4">
        <v>2457</v>
      </c>
      <c r="D34" s="4">
        <v>985</v>
      </c>
      <c r="E34" s="4">
        <v>54</v>
      </c>
      <c r="F34" s="4">
        <v>32182</v>
      </c>
    </row>
    <row r="35" spans="1:6" ht="15" x14ac:dyDescent="0.2">
      <c r="A35" s="3" t="s">
        <v>39</v>
      </c>
      <c r="B35" s="4">
        <v>176516</v>
      </c>
      <c r="C35" s="4">
        <v>21621</v>
      </c>
      <c r="D35" s="4">
        <v>5167</v>
      </c>
      <c r="E35" s="4">
        <v>273</v>
      </c>
      <c r="F35" s="4">
        <v>203577</v>
      </c>
    </row>
    <row r="36" spans="1:6" ht="15" x14ac:dyDescent="0.2">
      <c r="A36" s="3" t="s">
        <v>40</v>
      </c>
      <c r="B36" s="4">
        <v>49904</v>
      </c>
      <c r="C36" s="4">
        <v>5309</v>
      </c>
      <c r="D36" s="4">
        <v>1058</v>
      </c>
      <c r="E36" s="4">
        <v>51</v>
      </c>
      <c r="F36" s="4">
        <v>56322</v>
      </c>
    </row>
    <row r="37" spans="1:6" ht="15" x14ac:dyDescent="0.2">
      <c r="A37" s="3" t="s">
        <v>41</v>
      </c>
      <c r="B37" s="4">
        <v>22463</v>
      </c>
      <c r="C37" s="4">
        <v>2351</v>
      </c>
      <c r="D37" s="4">
        <v>495</v>
      </c>
      <c r="E37" s="4">
        <v>22</v>
      </c>
      <c r="F37" s="4">
        <v>25331</v>
      </c>
    </row>
    <row r="38" spans="1:6" ht="15" x14ac:dyDescent="0.2">
      <c r="A38" s="3" t="s">
        <v>42</v>
      </c>
      <c r="B38" s="4">
        <v>9740</v>
      </c>
      <c r="C38" s="4">
        <v>1271</v>
      </c>
      <c r="D38" s="4">
        <v>305</v>
      </c>
      <c r="E38" s="4">
        <v>24</v>
      </c>
      <c r="F38" s="4">
        <v>11340</v>
      </c>
    </row>
    <row r="39" spans="1:6" ht="15" x14ac:dyDescent="0.2">
      <c r="A39" s="3" t="s">
        <v>43</v>
      </c>
      <c r="B39" s="4">
        <v>41092</v>
      </c>
      <c r="C39" s="4">
        <v>4744</v>
      </c>
      <c r="D39" s="4">
        <v>2286</v>
      </c>
      <c r="E39" s="4">
        <v>82</v>
      </c>
      <c r="F39" s="4">
        <v>48204</v>
      </c>
    </row>
    <row r="40" spans="1:6" ht="15" x14ac:dyDescent="0.2">
      <c r="A40" s="3" t="s">
        <v>44</v>
      </c>
      <c r="B40" s="4">
        <v>117749</v>
      </c>
      <c r="C40" s="4">
        <v>13176</v>
      </c>
      <c r="D40" s="4">
        <v>4557</v>
      </c>
      <c r="E40" s="4">
        <v>158</v>
      </c>
      <c r="F40" s="4">
        <v>135640</v>
      </c>
    </row>
    <row r="41" spans="1:6" ht="15" x14ac:dyDescent="0.2">
      <c r="A41" s="3" t="s">
        <v>45</v>
      </c>
      <c r="B41" s="4">
        <v>181232</v>
      </c>
      <c r="C41" s="4">
        <v>20540</v>
      </c>
      <c r="D41" s="4">
        <v>7463</v>
      </c>
      <c r="E41" s="4">
        <v>278</v>
      </c>
      <c r="F41" s="4">
        <v>209513</v>
      </c>
    </row>
    <row r="42" spans="1:6" ht="15" x14ac:dyDescent="0.2">
      <c r="A42" s="3" t="s">
        <v>46</v>
      </c>
      <c r="B42" s="4">
        <v>16270</v>
      </c>
      <c r="C42" s="4">
        <v>2197</v>
      </c>
      <c r="D42" s="4">
        <v>832</v>
      </c>
      <c r="E42" s="4">
        <v>25</v>
      </c>
      <c r="F42" s="4">
        <v>19324</v>
      </c>
    </row>
    <row r="43" spans="1:6" ht="15" x14ac:dyDescent="0.2">
      <c r="A43" s="3" t="s">
        <v>47</v>
      </c>
      <c r="B43" s="4">
        <v>468592</v>
      </c>
      <c r="C43" s="4">
        <v>47468</v>
      </c>
      <c r="D43" s="4">
        <v>24766</v>
      </c>
      <c r="E43" s="4">
        <v>793</v>
      </c>
      <c r="F43" s="4">
        <v>541619</v>
      </c>
    </row>
    <row r="44" spans="1:6" ht="15" x14ac:dyDescent="0.2">
      <c r="A44" s="3" t="s">
        <v>48</v>
      </c>
      <c r="B44" s="4">
        <v>2007</v>
      </c>
      <c r="C44" s="4">
        <v>212</v>
      </c>
      <c r="D44" s="4">
        <v>65</v>
      </c>
      <c r="E44" s="4">
        <v>4</v>
      </c>
      <c r="F44" s="4">
        <v>2288</v>
      </c>
    </row>
    <row r="45" spans="1:6" ht="15" x14ac:dyDescent="0.2">
      <c r="A45" s="3" t="s">
        <v>49</v>
      </c>
      <c r="B45" s="4">
        <v>9921</v>
      </c>
      <c r="C45" s="4">
        <v>1433</v>
      </c>
      <c r="D45" s="4">
        <v>187</v>
      </c>
      <c r="E45" s="4">
        <v>15</v>
      </c>
      <c r="F45" s="4">
        <v>11556</v>
      </c>
    </row>
    <row r="46" spans="1:6" ht="15" x14ac:dyDescent="0.2">
      <c r="A46" s="3" t="s">
        <v>50</v>
      </c>
      <c r="B46" s="4">
        <v>79350</v>
      </c>
      <c r="C46" s="4">
        <v>7570</v>
      </c>
      <c r="D46" s="4">
        <v>1876</v>
      </c>
      <c r="E46" s="4">
        <v>95</v>
      </c>
      <c r="F46" s="4">
        <v>88891</v>
      </c>
    </row>
    <row r="47" spans="1:6" ht="15" x14ac:dyDescent="0.2">
      <c r="A47" s="3" t="s">
        <v>51</v>
      </c>
      <c r="B47" s="4">
        <v>21800</v>
      </c>
      <c r="C47" s="4">
        <v>1886</v>
      </c>
      <c r="D47" s="4">
        <v>910</v>
      </c>
      <c r="E47" s="4">
        <v>53</v>
      </c>
      <c r="F47" s="4">
        <v>24649</v>
      </c>
    </row>
    <row r="48" spans="1:6" ht="15" x14ac:dyDescent="0.2">
      <c r="A48" s="3" t="s">
        <v>52</v>
      </c>
      <c r="B48" s="4">
        <v>78190</v>
      </c>
      <c r="C48" s="4">
        <v>7764</v>
      </c>
      <c r="D48" s="4">
        <v>1941</v>
      </c>
      <c r="E48" s="4">
        <v>110</v>
      </c>
      <c r="F48" s="4">
        <v>88005</v>
      </c>
    </row>
    <row r="49" spans="1:6" ht="15" x14ac:dyDescent="0.2">
      <c r="A49" s="3" t="s">
        <v>53</v>
      </c>
      <c r="B49" s="4">
        <v>172441</v>
      </c>
      <c r="C49" s="4">
        <v>13696</v>
      </c>
      <c r="D49" s="4">
        <v>5711</v>
      </c>
      <c r="E49" s="4">
        <v>280</v>
      </c>
      <c r="F49" s="4">
        <v>192128</v>
      </c>
    </row>
    <row r="50" spans="1:6" ht="15" x14ac:dyDescent="0.2">
      <c r="A50" s="3" t="s">
        <v>54</v>
      </c>
      <c r="B50" s="4">
        <v>4237</v>
      </c>
      <c r="C50" s="4">
        <v>562</v>
      </c>
      <c r="D50" s="4">
        <v>137</v>
      </c>
      <c r="E50" s="4">
        <v>5</v>
      </c>
      <c r="F50" s="4">
        <v>4941</v>
      </c>
    </row>
    <row r="51" spans="1:6" ht="15" x14ac:dyDescent="0.2">
      <c r="A51" s="3" t="s">
        <v>55</v>
      </c>
      <c r="B51" s="4">
        <v>9552</v>
      </c>
      <c r="C51" s="4">
        <v>1084</v>
      </c>
      <c r="D51" s="4">
        <v>289</v>
      </c>
      <c r="E51" s="4">
        <v>19</v>
      </c>
      <c r="F51" s="4">
        <v>10944</v>
      </c>
    </row>
    <row r="52" spans="1:6" ht="15" x14ac:dyDescent="0.2">
      <c r="A52" s="3" t="s">
        <v>56</v>
      </c>
      <c r="B52" s="4">
        <v>672955</v>
      </c>
      <c r="C52" s="4">
        <v>53356</v>
      </c>
      <c r="D52" s="4">
        <v>23790</v>
      </c>
      <c r="E52" s="4">
        <v>982</v>
      </c>
      <c r="F52" s="4">
        <v>751083</v>
      </c>
    </row>
    <row r="53" spans="1:6" ht="15" x14ac:dyDescent="0.2">
      <c r="A53" s="3" t="s">
        <v>57</v>
      </c>
      <c r="B53" s="4">
        <v>21251</v>
      </c>
      <c r="C53" s="4">
        <v>2474</v>
      </c>
      <c r="D53" s="4">
        <v>522</v>
      </c>
      <c r="E53" s="4">
        <v>33</v>
      </c>
      <c r="F53" s="4">
        <v>24280</v>
      </c>
    </row>
    <row r="54" spans="1:6" ht="15" x14ac:dyDescent="0.2">
      <c r="A54" s="3" t="s">
        <v>58</v>
      </c>
      <c r="B54" s="4">
        <v>50625</v>
      </c>
      <c r="C54" s="4">
        <v>4403</v>
      </c>
      <c r="D54" s="4">
        <v>1967</v>
      </c>
      <c r="E54" s="4">
        <v>93</v>
      </c>
      <c r="F54" s="4">
        <v>57088</v>
      </c>
    </row>
    <row r="55" spans="1:6" ht="15" x14ac:dyDescent="0.2">
      <c r="A55" s="3" t="s">
        <v>59</v>
      </c>
      <c r="B55" s="4">
        <v>25194</v>
      </c>
      <c r="C55" s="4">
        <v>2857</v>
      </c>
      <c r="D55" s="4">
        <v>757</v>
      </c>
      <c r="E55" s="4">
        <v>41</v>
      </c>
      <c r="F55" s="4">
        <v>28849</v>
      </c>
    </row>
    <row r="56" spans="1:6" ht="15" x14ac:dyDescent="0.2">
      <c r="A56" s="3" t="s">
        <v>60</v>
      </c>
      <c r="B56" s="4">
        <v>30013</v>
      </c>
      <c r="C56" s="4">
        <v>3437</v>
      </c>
      <c r="D56" s="4">
        <v>518</v>
      </c>
      <c r="E56" s="4">
        <v>39</v>
      </c>
      <c r="F56" s="4">
        <v>34007</v>
      </c>
    </row>
    <row r="57" spans="1:6" ht="15" x14ac:dyDescent="0.2">
      <c r="A57" s="3" t="s">
        <v>61</v>
      </c>
      <c r="B57" s="4">
        <v>18399</v>
      </c>
      <c r="C57" s="4">
        <v>2404</v>
      </c>
      <c r="D57" s="4">
        <v>438</v>
      </c>
      <c r="E57" s="4">
        <v>20</v>
      </c>
      <c r="F57" s="4">
        <v>21261</v>
      </c>
    </row>
    <row r="58" spans="1:6" ht="15" x14ac:dyDescent="0.2">
      <c r="A58" s="3" t="s">
        <v>62</v>
      </c>
      <c r="B58" s="4">
        <v>68431</v>
      </c>
      <c r="C58" s="4">
        <v>5731</v>
      </c>
      <c r="D58" s="4">
        <v>1982</v>
      </c>
      <c r="E58" s="4">
        <v>102</v>
      </c>
      <c r="F58" s="4">
        <v>76246</v>
      </c>
    </row>
    <row r="59" spans="1:6" ht="15" x14ac:dyDescent="0.2">
      <c r="A59" s="3" t="s">
        <v>63</v>
      </c>
      <c r="B59" s="4">
        <v>12368</v>
      </c>
      <c r="C59" s="4">
        <v>1604</v>
      </c>
      <c r="D59" s="4">
        <v>390</v>
      </c>
      <c r="E59" s="4">
        <v>24</v>
      </c>
      <c r="F59" s="4">
        <v>14386</v>
      </c>
    </row>
    <row r="60" spans="1:6" ht="15" x14ac:dyDescent="0.2">
      <c r="A60" s="3" t="s">
        <v>64</v>
      </c>
      <c r="B60" s="4">
        <v>124990</v>
      </c>
      <c r="C60" s="4">
        <v>11437</v>
      </c>
      <c r="D60" s="4">
        <v>2886</v>
      </c>
      <c r="E60" s="4">
        <v>150</v>
      </c>
      <c r="F60" s="4">
        <v>139463</v>
      </c>
    </row>
    <row r="61" spans="1:6" ht="15" x14ac:dyDescent="0.2">
      <c r="A61" s="3" t="s">
        <v>65</v>
      </c>
      <c r="B61" s="4">
        <v>50792</v>
      </c>
      <c r="C61" s="4">
        <v>6034</v>
      </c>
      <c r="D61" s="4">
        <v>1268</v>
      </c>
      <c r="E61" s="4">
        <v>56</v>
      </c>
      <c r="F61" s="4">
        <v>58150</v>
      </c>
    </row>
    <row r="62" spans="1:6" ht="15" x14ac:dyDescent="0.2">
      <c r="A62" s="3" t="s">
        <v>66</v>
      </c>
      <c r="B62" s="4">
        <v>9167</v>
      </c>
      <c r="C62" s="4">
        <v>1085</v>
      </c>
      <c r="D62" s="4">
        <v>153</v>
      </c>
      <c r="E62" s="4">
        <v>7</v>
      </c>
      <c r="F62" s="4">
        <v>10412</v>
      </c>
    </row>
    <row r="63" spans="1:6" ht="15" x14ac:dyDescent="0.2">
      <c r="A63" s="3" t="s">
        <v>67</v>
      </c>
      <c r="B63" s="4">
        <v>132084</v>
      </c>
      <c r="C63" s="4">
        <v>16059</v>
      </c>
      <c r="D63" s="4">
        <v>3523</v>
      </c>
      <c r="E63" s="4">
        <v>174</v>
      </c>
      <c r="F63" s="4">
        <v>151840</v>
      </c>
    </row>
    <row r="64" spans="1:6" ht="15" x14ac:dyDescent="0.2">
      <c r="A64" s="3" t="s">
        <v>68</v>
      </c>
      <c r="B64" s="4">
        <v>42190</v>
      </c>
      <c r="C64" s="4">
        <v>5351</v>
      </c>
      <c r="D64" s="4">
        <v>843</v>
      </c>
      <c r="E64" s="4">
        <v>51</v>
      </c>
      <c r="F64" s="4">
        <v>48435</v>
      </c>
    </row>
    <row r="65" spans="1:6" ht="15" x14ac:dyDescent="0.2">
      <c r="A65" s="3" t="s">
        <v>69</v>
      </c>
      <c r="B65" s="4">
        <v>1007584</v>
      </c>
      <c r="C65" s="4">
        <v>78470</v>
      </c>
      <c r="D65" s="4">
        <v>45325</v>
      </c>
      <c r="E65" s="4">
        <v>1598</v>
      </c>
      <c r="F65" s="4">
        <v>1132977</v>
      </c>
    </row>
    <row r="66" spans="1:6" ht="15" x14ac:dyDescent="0.2">
      <c r="A66" s="3" t="s">
        <v>70</v>
      </c>
      <c r="B66" s="4">
        <v>22727</v>
      </c>
      <c r="C66" s="4">
        <v>2916</v>
      </c>
      <c r="D66" s="4">
        <v>643</v>
      </c>
      <c r="E66" s="4">
        <v>36</v>
      </c>
      <c r="F66" s="4">
        <v>26322</v>
      </c>
    </row>
    <row r="67" spans="1:6" ht="15" x14ac:dyDescent="0.2">
      <c r="A67" s="3" t="s">
        <v>71</v>
      </c>
      <c r="B67" s="4">
        <v>18952</v>
      </c>
      <c r="C67" s="4">
        <v>2068</v>
      </c>
      <c r="D67" s="4">
        <v>563</v>
      </c>
      <c r="E67" s="4">
        <v>40</v>
      </c>
      <c r="F67" s="4">
        <v>21623</v>
      </c>
    </row>
    <row r="68" spans="1:6" ht="15" x14ac:dyDescent="0.2">
      <c r="A68" s="3" t="s">
        <v>72</v>
      </c>
      <c r="B68" s="4">
        <v>5146</v>
      </c>
      <c r="C68" s="4">
        <v>694</v>
      </c>
      <c r="D68" s="4">
        <v>113</v>
      </c>
      <c r="E68" s="4">
        <v>14</v>
      </c>
      <c r="F68" s="4">
        <v>5967</v>
      </c>
    </row>
    <row r="69" spans="1:6" ht="15" x14ac:dyDescent="0.2">
      <c r="A69" s="3" t="s">
        <v>73</v>
      </c>
      <c r="B69" s="4">
        <v>18257</v>
      </c>
      <c r="C69" s="4">
        <v>2382</v>
      </c>
      <c r="D69" s="4">
        <v>680</v>
      </c>
      <c r="E69" s="4">
        <v>26</v>
      </c>
      <c r="F69" s="4">
        <v>21345</v>
      </c>
    </row>
    <row r="70" spans="1:6" ht="15" x14ac:dyDescent="0.2">
      <c r="A70" s="3" t="s">
        <v>74</v>
      </c>
      <c r="B70" s="4">
        <v>7446</v>
      </c>
      <c r="C70" s="4">
        <v>910</v>
      </c>
      <c r="D70" s="4">
        <v>153</v>
      </c>
      <c r="E70" s="4">
        <v>24</v>
      </c>
      <c r="F70" s="4">
        <v>8533</v>
      </c>
    </row>
    <row r="71" spans="1:6" ht="15" x14ac:dyDescent="0.2">
      <c r="A71" s="3" t="s">
        <v>75</v>
      </c>
      <c r="B71" s="4">
        <v>21998</v>
      </c>
      <c r="C71" s="4">
        <v>2194</v>
      </c>
      <c r="D71" s="4">
        <v>910</v>
      </c>
      <c r="E71" s="4">
        <v>46</v>
      </c>
      <c r="F71" s="4">
        <v>25148</v>
      </c>
    </row>
    <row r="72" spans="1:6" ht="15" x14ac:dyDescent="0.2">
      <c r="A72" s="3" t="s">
        <v>76</v>
      </c>
      <c r="B72" s="4">
        <v>232974</v>
      </c>
      <c r="C72" s="4">
        <v>17787</v>
      </c>
      <c r="D72" s="4">
        <v>9334</v>
      </c>
      <c r="E72" s="4">
        <v>308</v>
      </c>
      <c r="F72" s="4">
        <v>260403</v>
      </c>
    </row>
    <row r="73" spans="1:6" ht="15" x14ac:dyDescent="0.2">
      <c r="A73" s="3" t="s">
        <v>77</v>
      </c>
      <c r="B73" s="4">
        <v>12155</v>
      </c>
      <c r="C73" s="4">
        <v>1274</v>
      </c>
      <c r="D73" s="4">
        <v>228</v>
      </c>
      <c r="E73" s="4">
        <v>15</v>
      </c>
      <c r="F73" s="4">
        <v>13672</v>
      </c>
    </row>
    <row r="74" spans="1:6" ht="15" x14ac:dyDescent="0.2">
      <c r="A74" s="3" t="s">
        <v>78</v>
      </c>
      <c r="B74" s="4">
        <v>22719</v>
      </c>
      <c r="C74" s="4">
        <v>2314</v>
      </c>
      <c r="D74" s="4">
        <v>417</v>
      </c>
      <c r="E74" s="4">
        <v>30</v>
      </c>
      <c r="F74" s="4">
        <v>25480</v>
      </c>
    </row>
    <row r="75" spans="1:6" ht="15" x14ac:dyDescent="0.2">
      <c r="A75" s="3" t="s">
        <v>79</v>
      </c>
      <c r="B75" s="4">
        <v>135323</v>
      </c>
      <c r="C75" s="4">
        <v>15168</v>
      </c>
      <c r="D75" s="4">
        <v>5332</v>
      </c>
      <c r="E75" s="4">
        <v>212</v>
      </c>
      <c r="F75" s="4">
        <v>156035</v>
      </c>
    </row>
    <row r="76" spans="1:6" ht="15" x14ac:dyDescent="0.2">
      <c r="A76" s="3" t="s">
        <v>80</v>
      </c>
      <c r="B76" s="4">
        <v>135446</v>
      </c>
      <c r="C76" s="4">
        <v>12195</v>
      </c>
      <c r="D76" s="4">
        <v>3212</v>
      </c>
      <c r="E76" s="4">
        <v>125</v>
      </c>
      <c r="F76" s="4">
        <v>150978</v>
      </c>
    </row>
    <row r="77" spans="1:6" ht="15" x14ac:dyDescent="0.2">
      <c r="A77" s="3" t="s">
        <v>81</v>
      </c>
      <c r="B77" s="4">
        <v>46576</v>
      </c>
      <c r="C77" s="4">
        <v>6001</v>
      </c>
      <c r="D77" s="4">
        <v>1289</v>
      </c>
      <c r="E77" s="4">
        <v>70</v>
      </c>
      <c r="F77" s="4">
        <v>53936</v>
      </c>
    </row>
    <row r="78" spans="1:6" ht="15" x14ac:dyDescent="0.2">
      <c r="A78" s="3" t="s">
        <v>82</v>
      </c>
      <c r="B78" s="4">
        <v>34805</v>
      </c>
      <c r="C78" s="4">
        <v>3884</v>
      </c>
      <c r="D78" s="4">
        <v>898</v>
      </c>
      <c r="E78" s="4">
        <v>42</v>
      </c>
      <c r="F78" s="4">
        <v>39629</v>
      </c>
    </row>
    <row r="79" spans="1:6" ht="15" x14ac:dyDescent="0.2">
      <c r="A79" s="3" t="s">
        <v>83</v>
      </c>
      <c r="B79" s="4">
        <v>6545</v>
      </c>
      <c r="C79" s="4">
        <v>828</v>
      </c>
      <c r="D79" s="4">
        <v>268</v>
      </c>
      <c r="E79" s="4">
        <v>13</v>
      </c>
      <c r="F79" s="4">
        <v>7654</v>
      </c>
    </row>
    <row r="80" spans="1:6" ht="15" x14ac:dyDescent="0.2">
      <c r="A80" s="3" t="s">
        <v>84</v>
      </c>
      <c r="B80" s="4">
        <v>56304</v>
      </c>
      <c r="C80" s="4">
        <v>6082</v>
      </c>
      <c r="D80" s="4">
        <v>1371</v>
      </c>
      <c r="E80" s="4">
        <v>57</v>
      </c>
      <c r="F80" s="4">
        <v>63814</v>
      </c>
    </row>
    <row r="81" spans="1:6" ht="15" x14ac:dyDescent="0.2">
      <c r="A81" s="3" t="s">
        <v>85</v>
      </c>
      <c r="B81" s="4">
        <v>45486</v>
      </c>
      <c r="C81" s="4">
        <v>4808</v>
      </c>
      <c r="D81" s="4">
        <v>969</v>
      </c>
      <c r="E81" s="4">
        <v>32</v>
      </c>
      <c r="F81" s="4">
        <v>51295</v>
      </c>
    </row>
    <row r="82" spans="1:6" ht="15" x14ac:dyDescent="0.2">
      <c r="A82" s="3" t="s">
        <v>86</v>
      </c>
      <c r="B82" s="4">
        <v>62878</v>
      </c>
      <c r="C82" s="4">
        <v>8117</v>
      </c>
      <c r="D82" s="4">
        <v>1538</v>
      </c>
      <c r="E82" s="4">
        <v>83</v>
      </c>
      <c r="F82" s="4">
        <v>72616</v>
      </c>
    </row>
    <row r="83" spans="1:6" ht="15" x14ac:dyDescent="0.2">
      <c r="A83" s="3" t="s">
        <v>87</v>
      </c>
      <c r="B83" s="4">
        <v>243998</v>
      </c>
      <c r="C83" s="4">
        <v>21656</v>
      </c>
      <c r="D83" s="4">
        <v>7394</v>
      </c>
      <c r="E83" s="4">
        <v>374</v>
      </c>
      <c r="F83" s="4">
        <v>273422</v>
      </c>
    </row>
    <row r="84" spans="1:6" ht="15" x14ac:dyDescent="0.2">
      <c r="A84" s="3" t="s">
        <v>88</v>
      </c>
      <c r="B84" s="4">
        <v>1086263</v>
      </c>
      <c r="C84" s="4">
        <v>134091</v>
      </c>
      <c r="D84" s="4">
        <v>34063</v>
      </c>
      <c r="E84" s="4">
        <v>2013</v>
      </c>
      <c r="F84" s="4">
        <v>1256430</v>
      </c>
    </row>
    <row r="85" spans="1:6" ht="15" x14ac:dyDescent="0.2">
      <c r="A85" s="3" t="s">
        <v>89</v>
      </c>
      <c r="B85" s="4">
        <v>26454</v>
      </c>
      <c r="C85" s="4">
        <v>3368</v>
      </c>
      <c r="D85" s="4">
        <v>764</v>
      </c>
      <c r="E85" s="4">
        <v>50</v>
      </c>
      <c r="F85" s="4">
        <v>30636</v>
      </c>
    </row>
    <row r="86" spans="1:6" ht="15" x14ac:dyDescent="0.2">
      <c r="A86" s="5"/>
      <c r="B86" s="6">
        <f>SUBTOTAL(9,B2:B85)</f>
        <v>7454569</v>
      </c>
      <c r="C86" s="6">
        <f>SUBTOTAL(9,C2:C85)</f>
        <v>764825</v>
      </c>
      <c r="D86" s="6">
        <f>SUBTOTAL(9,D2:D85)</f>
        <v>261106</v>
      </c>
      <c r="E86" s="6">
        <f>SUBTOTAL(9,E2:E85)</f>
        <v>11606</v>
      </c>
      <c r="F86" s="6">
        <f>SUBTOTAL(9,F2:F85)</f>
        <v>8492106</v>
      </c>
    </row>
  </sheetData>
  <autoFilter ref="A1:F1" xr:uid="{85AF3FAD-5F4F-4148-89A7-7A9B1DEDDEC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73DA9F6EB8544B9E408D81DA1AB9F" ma:contentTypeVersion="16" ma:contentTypeDescription="Create a new document." ma:contentTypeScope="" ma:versionID="24af76ef502cece78d074916b088edca">
  <xsd:schema xmlns:xsd="http://www.w3.org/2001/XMLSchema" xmlns:xs="http://www.w3.org/2001/XMLSchema" xmlns:p="http://schemas.microsoft.com/office/2006/metadata/properties" xmlns:ns2="6c11c4d8-4b79-42f1-b11c-065364245f7d" xmlns:ns3="949ae502-3080-4d02-a21a-a0ec58d26dac" targetNamespace="http://schemas.microsoft.com/office/2006/metadata/properties" ma:root="true" ma:fieldsID="f90a39fa87cf7a9f7696fab3b20dcbf1" ns2:_="" ns3:_="">
    <xsd:import namespace="6c11c4d8-4b79-42f1-b11c-065364245f7d"/>
    <xsd:import namespace="949ae502-3080-4d02-a21a-a0ec58d26d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1c4d8-4b79-42f1-b11c-065364245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7f211d6-8372-46aa-a5eb-ca4629ff1b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ae502-3080-4d02-a21a-a0ec58d26da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32008ec-8257-4a25-af61-2728916de974}" ma:internalName="TaxCatchAll" ma:showField="CatchAllData" ma:web="949ae502-3080-4d02-a21a-a0ec58d26d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11c4d8-4b79-42f1-b11c-065364245f7d">
      <Terms xmlns="http://schemas.microsoft.com/office/infopath/2007/PartnerControls"/>
    </lcf76f155ced4ddcb4097134ff3c332f>
    <TaxCatchAll xmlns="949ae502-3080-4d02-a21a-a0ec58d26dac" xsi:nil="true"/>
  </documentManagement>
</p:properties>
</file>

<file path=customXml/itemProps1.xml><?xml version="1.0" encoding="utf-8"?>
<ds:datastoreItem xmlns:ds="http://schemas.openxmlformats.org/officeDocument/2006/customXml" ds:itemID="{C8DEC996-47BB-434D-81A6-2C0E0E86A7D9}"/>
</file>

<file path=customXml/itemProps2.xml><?xml version="1.0" encoding="utf-8"?>
<ds:datastoreItem xmlns:ds="http://schemas.openxmlformats.org/officeDocument/2006/customXml" ds:itemID="{4C1523E0-AADE-4C78-A094-BA4AB4191356}"/>
</file>

<file path=customXml/itemProps3.xml><?xml version="1.0" encoding="utf-8"?>
<ds:datastoreItem xmlns:ds="http://schemas.openxmlformats.org/officeDocument/2006/customXml" ds:itemID="{F15141ED-72FA-4CBC-A694-BE689F0842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Registrations_by_County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Hengesbach</dc:creator>
  <cp:lastModifiedBy>Graham Woolley</cp:lastModifiedBy>
  <dcterms:created xsi:type="dcterms:W3CDTF">2025-01-06T14:52:17Z</dcterms:created>
  <dcterms:modified xsi:type="dcterms:W3CDTF">2025-11-11T21:59:17Z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0x0101001F473DA9F6EB8544B9E408D81DA1AB9F</vt:lpwstr>
  </property>
</Properties>
</file>